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4209439D-5CB1-4B3E-9B92-2B32DBEF9B20}" xr6:coauthVersionLast="47" xr6:coauthVersionMax="47" xr10:uidLastSave="{00000000-0000-0000-0000-000000000000}"/>
  <bookViews>
    <workbookView xWindow="-108" yWindow="-108" windowWidth="23256" windowHeight="13896" xr2:uid="{ACDC69C9-3C4A-4F17-AE53-1E771AC84D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B30" i="1" s="1"/>
  <c r="G10" i="1"/>
  <c r="G9" i="1"/>
  <c r="B41" i="1" s="1"/>
  <c r="G15" i="1"/>
  <c r="B50" i="1" s="1"/>
  <c r="G16" i="1"/>
  <c r="C7" i="1"/>
  <c r="C8" i="1"/>
  <c r="C66" i="1" l="1"/>
  <c r="B31" i="1"/>
  <c r="C57" i="1"/>
  <c r="B48" i="1"/>
  <c r="B49" i="1"/>
  <c r="B39" i="1"/>
  <c r="B40" i="1"/>
  <c r="C68" i="1" l="1"/>
  <c r="B68" i="1" s="1"/>
  <c r="C59" i="1"/>
  <c r="B59" i="1" s="1"/>
  <c r="C58" i="1"/>
  <c r="B58" i="1" s="1"/>
  <c r="B57" i="1"/>
  <c r="C67" i="1"/>
  <c r="B67" i="1" s="1"/>
  <c r="B66" i="1"/>
  <c r="B32" i="1"/>
</calcChain>
</file>

<file path=xl/sharedStrings.xml><?xml version="1.0" encoding="utf-8"?>
<sst xmlns="http://schemas.openxmlformats.org/spreadsheetml/2006/main" count="90" uniqueCount="41">
  <si>
    <t>Area Calculation</t>
  </si>
  <si>
    <t>Diameter (m)</t>
  </si>
  <si>
    <t>Radius (m)</t>
  </si>
  <si>
    <t>π (Pi)</t>
  </si>
  <si>
    <r>
      <t>Area (m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</si>
  <si>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t>Bund wall</t>
  </si>
  <si>
    <t>Length</t>
  </si>
  <si>
    <t>Width</t>
  </si>
  <si>
    <r>
      <t>Volume (m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</si>
  <si>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t>Height (m)</t>
  </si>
  <si>
    <t>Height</t>
  </si>
  <si>
    <t>Side</t>
  </si>
  <si>
    <t>Rectangular</t>
  </si>
  <si>
    <t>Square</t>
  </si>
  <si>
    <t>Table 5.2.4.2.2 Foam Handline and Monitor Protection for Fixed-Roof Storage Tanks Containing Hydrocarbons</t>
  </si>
  <si>
    <t>Hydrocarbon Type</t>
  </si>
  <si>
    <t>Flash point between 100°F and 140°F (38°C and 60°C)</t>
  </si>
  <si>
    <t>Flash point below 100°F (38°C) or liquids heated above their flash points</t>
  </si>
  <si>
    <t>Crude petroleum</t>
  </si>
  <si>
    <t>Minimum Application Rate</t>
  </si>
  <si>
    <t>mm/min*</t>
  </si>
  <si>
    <t>Minimum Discharge Time (minutes)</t>
  </si>
  <si>
    <r>
      <t>gpm/ft</t>
    </r>
    <r>
      <rPr>
        <b/>
        <vertAlign val="superscript"/>
        <sz val="14"/>
        <color rgb="FF001A39"/>
        <rFont val="Dubai"/>
        <family val="2"/>
      </rPr>
      <t>2</t>
    </r>
  </si>
  <si>
    <r>
      <t>Notes: * L/min·m</t>
    </r>
    <r>
      <rPr>
        <vertAlign val="superscript"/>
        <sz val="14"/>
        <color rgb="FF646A82"/>
        <rFont val="Dubai"/>
        <family val="2"/>
      </rPr>
      <t>2</t>
    </r>
    <r>
      <rPr>
        <sz val="14"/>
        <color rgb="FF646A82"/>
        <rFont val="Dubai"/>
        <family val="2"/>
      </rPr>
      <t> is equivalent to mm/min.</t>
    </r>
  </si>
  <si>
    <t>NFPA 11 Chapter 5</t>
  </si>
  <si>
    <t>Foam Mixing Ratio</t>
  </si>
  <si>
    <t>Other</t>
  </si>
  <si>
    <t>Type of Hydrocarbon</t>
  </si>
  <si>
    <t>Required Foam Concentrate: Area x Application Rate x Foam Mixing Ratio x Discharge Time</t>
  </si>
  <si>
    <t>Storage Tank</t>
  </si>
  <si>
    <t>Bund Wall (Rectangular)</t>
  </si>
  <si>
    <t>Bund Wall (Square)</t>
  </si>
  <si>
    <t>Bund Wall (Square) minus Storage Tank Area</t>
  </si>
  <si>
    <t>Foam Concentrate Required (Liters)</t>
  </si>
  <si>
    <t>Bund Wall (Rectangular) minus Storage Tank Area</t>
  </si>
  <si>
    <r>
      <t>Application Rate
(L/m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/min)</t>
    </r>
  </si>
  <si>
    <t>Discharge Time
(Minutes)</t>
  </si>
  <si>
    <r>
      <t>Area
(m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</si>
  <si>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t>Other Application Rates</t>
  </si>
  <si>
    <r>
      <t>Application Rate
(L/m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/min)</t>
    </r>
  </si>
  <si>
    <r>
      <t>Area
(m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</si>
</sst>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001A39"/>
      <name val="Dubai"/>
      <family val="2"/>
    </font>
    <font>
      <sz val="14"/>
      <color theme="1"/>
      <name val="Dubai"/>
      <family val="2"/>
    </font>
    <font>
      <b/>
      <vertAlign val="superscript"/>
      <sz val="14"/>
      <color rgb="FF001A39"/>
      <name val="Dubai"/>
      <family val="2"/>
    </font>
    <font>
      <sz val="14"/>
      <color rgb="FF646A82"/>
      <name val="Dubai"/>
      <family val="2"/>
    </font>
    <font>
      <vertAlign val="superscript"/>
      <sz val="14"/>
      <color rgb="FF646A82"/>
      <name val="Dubai"/>
      <family val="2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Dubai"/>
      <family val="2"/>
    </font>
    <font>
      <b/>
      <i/>
      <sz val="14"/>
      <color rgb="FF001A39"/>
      <name val="Dubai"/>
      <family val="2"/>
    </font>
    <font>
      <b/>
      <vertAlign val="superscript"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FDFB-5402-4698-B485-4BAFD41F71BE}">
  <dimension ref="A2:H68"/>
  <sheetViews>
    <sheetView tabSelected="1" zoomScaleNormal="100" workbookViewId="0">
      <selection activeCell="D11" sqref="D11"/>
    </sheetView>
  </sheetViews>
  <sheetFormatPr defaultColWidth="9.109375" defaultRowHeight="15.6" x14ac:dyDescent="0.3"/>
  <cols>
    <col min="1" max="1" width="60.6640625" style="1" customWidth="1"/>
    <col min="2" max="2" width="20.6640625" style="1" customWidth="1"/>
    <col min="3" max="3" width="20.6640625" style="2" customWidth="1"/>
    <col min="4" max="4" width="20.6640625" style="1" customWidth="1"/>
    <col min="5" max="8" width="16.6640625" style="1" customWidth="1"/>
    <col min="9" max="16384" width="9.109375" style="1"/>
  </cols>
  <sheetData>
    <row r="2" spans="1:7" ht="18" x14ac:dyDescent="0.3">
      <c r="A2" s="34" t="s">
        <v>0</v>
      </c>
      <c r="B2" s="34"/>
      <c r="C2" s="34"/>
      <c r="D2" s="34"/>
      <c r="E2" s="34"/>
      <c r="F2" s="34"/>
      <c r="G2" s="34"/>
    </row>
    <row r="4" spans="1:7" x14ac:dyDescent="0.3">
      <c r="B4" s="35" t="s">
        <v>29</v>
      </c>
      <c r="C4" s="35"/>
      <c r="E4" s="35" t="s">
        <v>5</v>
      </c>
      <c r="F4" s="35"/>
      <c r="G4" s="35"/>
    </row>
    <row r="5" spans="1:7" x14ac:dyDescent="0.3">
      <c r="B5" s="13" t="s">
        <v>1</v>
      </c>
      <c r="C5" s="20">
        <v>50</v>
      </c>
      <c r="E5" s="25" t="s">
        <v>12</v>
      </c>
      <c r="F5" s="13" t="s">
        <v>6</v>
      </c>
      <c r="G5" s="18">
        <v>100</v>
      </c>
    </row>
    <row r="6" spans="1:7" x14ac:dyDescent="0.3">
      <c r="B6" s="13"/>
      <c r="C6" s="21">
        <v>2</v>
      </c>
      <c r="E6" s="13"/>
      <c r="F6" s="13" t="s">
        <v>7</v>
      </c>
      <c r="G6" s="18">
        <v>80</v>
      </c>
    </row>
    <row r="7" spans="1:7" x14ac:dyDescent="0.3">
      <c r="B7" s="13" t="s">
        <v>2</v>
      </c>
      <c r="C7" s="19">
        <f>C5/C6</f>
        <v>25</v>
      </c>
      <c r="E7" s="13"/>
      <c r="F7" s="13" t="s">
        <v>10</v>
      </c>
      <c r="G7" s="18">
        <v>5</v>
      </c>
    </row>
    <row r="8" spans="1:7" x14ac:dyDescent="0.3">
      <c r="B8" s="17" t="s">
        <v>3</v>
      </c>
      <c r="C8" s="11">
        <f>PI()</f>
        <v>3.1415926535897931</v>
      </c>
      <c r="E8" s="13"/>
      <c r="F8" s="13"/>
      <c r="G8" s="11"/>
    </row>
    <row r="9" spans="1:7" ht="17.399999999999999" x14ac:dyDescent="0.3">
      <c r="B9" s="13" t="s">
        <v>9</v>
      </c>
      <c r="C9" s="18">
        <v>5</v>
      </c>
      <c r="E9" s="13"/>
      <c r="F9" s="13" t="s">
        <v>4</v>
      </c>
      <c r="G9" s="11">
        <f>G5*G6</f>
        <v>8000</v>
      </c>
    </row>
    <row r="10" spans="1:7" ht="17.399999999999999" x14ac:dyDescent="0.3">
      <c r="B10" s="13"/>
      <c r="C10" s="11"/>
      <c r="E10" s="13"/>
      <c r="F10" s="13" t="s">
        <v>8</v>
      </c>
      <c r="G10" s="11">
        <f>G5*G6*G7</f>
        <v>40000</v>
      </c>
    </row>
    <row r="11" spans="1:7" ht="17.399999999999999" x14ac:dyDescent="0.3">
      <c r="B11" s="13" t="s">
        <v>4</v>
      </c>
      <c r="C11" s="19">
        <f>PI()*C7^2</f>
        <v>1963.4954084936207</v>
      </c>
      <c r="D11" s="3"/>
      <c r="E11" s="13"/>
      <c r="F11" s="13"/>
      <c r="G11" s="11"/>
    </row>
    <row r="12" spans="1:7" ht="17.399999999999999" x14ac:dyDescent="0.3">
      <c r="B12" s="13" t="s">
        <v>8</v>
      </c>
      <c r="C12" s="19">
        <f>PI()*C7^2*C9</f>
        <v>9817.4770424681046</v>
      </c>
      <c r="D12" s="3"/>
      <c r="E12" s="25" t="s">
        <v>13</v>
      </c>
      <c r="F12" s="13" t="s">
        <v>11</v>
      </c>
      <c r="G12" s="18">
        <v>100</v>
      </c>
    </row>
    <row r="13" spans="1:7" x14ac:dyDescent="0.3">
      <c r="E13" s="13"/>
      <c r="F13" s="13" t="s">
        <v>10</v>
      </c>
      <c r="G13" s="18">
        <v>5</v>
      </c>
    </row>
    <row r="14" spans="1:7" x14ac:dyDescent="0.3">
      <c r="E14" s="13"/>
      <c r="F14" s="13"/>
      <c r="G14" s="11"/>
    </row>
    <row r="15" spans="1:7" ht="17.399999999999999" x14ac:dyDescent="0.3">
      <c r="E15" s="13"/>
      <c r="F15" s="13" t="s">
        <v>4</v>
      </c>
      <c r="G15" s="11">
        <f>G12^2</f>
        <v>10000</v>
      </c>
    </row>
    <row r="16" spans="1:7" ht="17.399999999999999" x14ac:dyDescent="0.3">
      <c r="E16" s="13"/>
      <c r="F16" s="13" t="s">
        <v>8</v>
      </c>
      <c r="G16" s="11">
        <f>PRODUCT(G12^2*G13)</f>
        <v>50000</v>
      </c>
    </row>
    <row r="17" spans="1:7" x14ac:dyDescent="0.3">
      <c r="E17" s="13"/>
      <c r="F17" s="13"/>
      <c r="G17" s="11"/>
    </row>
    <row r="18" spans="1:7" x14ac:dyDescent="0.3">
      <c r="E18" s="13"/>
      <c r="F18" s="19"/>
      <c r="G18" s="11"/>
    </row>
    <row r="19" spans="1:7" x14ac:dyDescent="0.3">
      <c r="G19" s="2"/>
    </row>
    <row r="20" spans="1:7" x14ac:dyDescent="0.3">
      <c r="G20" s="2"/>
    </row>
    <row r="23" spans="1:7" ht="22.5" customHeight="1" x14ac:dyDescent="0.3">
      <c r="A23" s="33"/>
      <c r="B23" s="33"/>
      <c r="C23" s="33"/>
      <c r="D23" s="33"/>
      <c r="E23" s="33"/>
    </row>
    <row r="24" spans="1:7" ht="3.9" customHeight="1" x14ac:dyDescent="0.3"/>
    <row r="25" spans="1:7" ht="22.5" customHeight="1" x14ac:dyDescent="0.3">
      <c r="A25" s="36" t="s">
        <v>29</v>
      </c>
      <c r="B25" s="36"/>
      <c r="C25" s="36"/>
      <c r="D25" s="36"/>
      <c r="E25" s="36"/>
    </row>
    <row r="26" spans="1:7" ht="3.9" customHeight="1" x14ac:dyDescent="0.3"/>
    <row r="27" spans="1:7" x14ac:dyDescent="0.3">
      <c r="A27" s="35" t="s">
        <v>28</v>
      </c>
      <c r="B27" s="35"/>
      <c r="C27" s="35"/>
      <c r="D27" s="35"/>
      <c r="E27" s="35"/>
    </row>
    <row r="28" spans="1:7" ht="3.9" customHeight="1" x14ac:dyDescent="0.3"/>
    <row r="29" spans="1:7" ht="33" x14ac:dyDescent="0.3">
      <c r="A29" s="28" t="s">
        <v>27</v>
      </c>
      <c r="B29" s="29" t="s">
        <v>33</v>
      </c>
      <c r="C29" s="29" t="s">
        <v>39</v>
      </c>
      <c r="D29" s="30" t="s">
        <v>25</v>
      </c>
      <c r="E29" s="31" t="s">
        <v>36</v>
      </c>
      <c r="G29" s="16"/>
    </row>
    <row r="30" spans="1:7" ht="30" customHeight="1" x14ac:dyDescent="0.3">
      <c r="A30" s="12" t="s">
        <v>16</v>
      </c>
      <c r="B30" s="22">
        <f>PRODUCT(C11)*C30*D30*E30</f>
        <v>19144.080232812805</v>
      </c>
      <c r="C30" s="11">
        <v>6.5</v>
      </c>
      <c r="D30" s="11">
        <v>0.03</v>
      </c>
      <c r="E30" s="11">
        <v>50</v>
      </c>
    </row>
    <row r="31" spans="1:7" ht="30" customHeight="1" x14ac:dyDescent="0.3">
      <c r="A31" s="12" t="s">
        <v>17</v>
      </c>
      <c r="B31" s="22">
        <f>PRODUCT(C11)*C31*D31*E31</f>
        <v>24887.304302656645</v>
      </c>
      <c r="C31" s="11">
        <v>6.5</v>
      </c>
      <c r="D31" s="11">
        <v>0.03</v>
      </c>
      <c r="E31" s="11">
        <v>65</v>
      </c>
    </row>
    <row r="32" spans="1:7" ht="30" customHeight="1" x14ac:dyDescent="0.3">
      <c r="A32" s="12" t="s">
        <v>18</v>
      </c>
      <c r="B32" s="22">
        <f>PRODUCT(C11)*C32*D32*E32</f>
        <v>24887.304302656645</v>
      </c>
      <c r="C32" s="11">
        <v>6.5</v>
      </c>
      <c r="D32" s="11">
        <v>0.03</v>
      </c>
      <c r="E32" s="11">
        <v>65</v>
      </c>
    </row>
    <row r="33" spans="1:7" ht="3.9" customHeight="1" x14ac:dyDescent="0.3"/>
    <row r="34" spans="1:7" ht="22.5" customHeight="1" x14ac:dyDescent="0.3">
      <c r="A34" s="36" t="s">
        <v>30</v>
      </c>
      <c r="B34" s="36"/>
      <c r="C34" s="36"/>
      <c r="D34" s="36"/>
      <c r="E34" s="36"/>
    </row>
    <row r="35" spans="1:7" ht="3.9" customHeight="1" x14ac:dyDescent="0.3"/>
    <row r="36" spans="1:7" x14ac:dyDescent="0.3">
      <c r="A36" s="35" t="s">
        <v>28</v>
      </c>
      <c r="B36" s="35"/>
      <c r="C36" s="35"/>
      <c r="D36" s="35"/>
      <c r="E36" s="35"/>
    </row>
    <row r="37" spans="1:7" ht="3.9" customHeight="1" x14ac:dyDescent="0.3"/>
    <row r="38" spans="1:7" ht="33" x14ac:dyDescent="0.3">
      <c r="A38" s="28" t="s">
        <v>27</v>
      </c>
      <c r="B38" s="29" t="s">
        <v>33</v>
      </c>
      <c r="C38" s="29" t="s">
        <v>39</v>
      </c>
      <c r="D38" s="30" t="s">
        <v>25</v>
      </c>
      <c r="E38" s="31" t="s">
        <v>36</v>
      </c>
      <c r="G38" s="16"/>
    </row>
    <row r="39" spans="1:7" ht="30" customHeight="1" x14ac:dyDescent="0.3">
      <c r="A39" s="12" t="s">
        <v>16</v>
      </c>
      <c r="B39" s="22">
        <f>PRODUCT(G9)*C39*D39*E39</f>
        <v>78000</v>
      </c>
      <c r="C39" s="11">
        <v>6.5</v>
      </c>
      <c r="D39" s="11">
        <v>0.03</v>
      </c>
      <c r="E39" s="11">
        <v>50</v>
      </c>
    </row>
    <row r="40" spans="1:7" ht="30" customHeight="1" x14ac:dyDescent="0.3">
      <c r="A40" s="12" t="s">
        <v>17</v>
      </c>
      <c r="B40" s="22">
        <f>PRODUCT(G9)*C40*D40*E40</f>
        <v>101400</v>
      </c>
      <c r="C40" s="11">
        <v>6.5</v>
      </c>
      <c r="D40" s="11">
        <v>0.03</v>
      </c>
      <c r="E40" s="11">
        <v>65</v>
      </c>
    </row>
    <row r="41" spans="1:7" ht="30" customHeight="1" x14ac:dyDescent="0.3">
      <c r="A41" s="12" t="s">
        <v>18</v>
      </c>
      <c r="B41" s="22">
        <f>PRODUCT(G9)*C41*D41*E41</f>
        <v>101400</v>
      </c>
      <c r="C41" s="11">
        <v>6.5</v>
      </c>
      <c r="D41" s="11">
        <v>0.03</v>
      </c>
      <c r="E41" s="11">
        <v>65</v>
      </c>
    </row>
    <row r="42" spans="1:7" ht="3.9" customHeight="1" x14ac:dyDescent="0.3"/>
    <row r="43" spans="1:7" ht="22.5" customHeight="1" x14ac:dyDescent="0.3">
      <c r="A43" s="36" t="s">
        <v>31</v>
      </c>
      <c r="B43" s="36"/>
      <c r="C43" s="36"/>
      <c r="D43" s="36"/>
      <c r="E43" s="36"/>
    </row>
    <row r="44" spans="1:7" ht="3.9" customHeight="1" x14ac:dyDescent="0.3"/>
    <row r="45" spans="1:7" x14ac:dyDescent="0.3">
      <c r="A45" s="35" t="s">
        <v>28</v>
      </c>
      <c r="B45" s="35"/>
      <c r="C45" s="35"/>
      <c r="D45" s="35"/>
      <c r="E45" s="35"/>
    </row>
    <row r="46" spans="1:7" ht="3.9" customHeight="1" x14ac:dyDescent="0.3"/>
    <row r="47" spans="1:7" ht="33" x14ac:dyDescent="0.3">
      <c r="A47" s="28" t="s">
        <v>27</v>
      </c>
      <c r="B47" s="29" t="s">
        <v>33</v>
      </c>
      <c r="C47" s="29" t="s">
        <v>39</v>
      </c>
      <c r="D47" s="30" t="s">
        <v>25</v>
      </c>
      <c r="E47" s="31" t="s">
        <v>36</v>
      </c>
      <c r="G47" s="16"/>
    </row>
    <row r="48" spans="1:7" ht="30" customHeight="1" x14ac:dyDescent="0.3">
      <c r="A48" s="12" t="s">
        <v>16</v>
      </c>
      <c r="B48" s="22">
        <f>PRODUCT(G15)*C48*D48*E48</f>
        <v>97500</v>
      </c>
      <c r="C48" s="11">
        <v>6.5</v>
      </c>
      <c r="D48" s="11">
        <v>0.03</v>
      </c>
      <c r="E48" s="11">
        <v>50</v>
      </c>
    </row>
    <row r="49" spans="1:8" ht="30" customHeight="1" x14ac:dyDescent="0.3">
      <c r="A49" s="12" t="s">
        <v>17</v>
      </c>
      <c r="B49" s="22">
        <f>PRODUCT(G15)*C49*D49*E49</f>
        <v>126750</v>
      </c>
      <c r="C49" s="11">
        <v>6.5</v>
      </c>
      <c r="D49" s="11">
        <v>0.03</v>
      </c>
      <c r="E49" s="11">
        <v>65</v>
      </c>
    </row>
    <row r="50" spans="1:8" ht="30" customHeight="1" x14ac:dyDescent="0.3">
      <c r="A50" s="12" t="s">
        <v>18</v>
      </c>
      <c r="B50" s="22">
        <f>PRODUCT(G15)*C50*D50*E50</f>
        <v>126750</v>
      </c>
      <c r="C50" s="11">
        <v>6.5</v>
      </c>
      <c r="D50" s="11">
        <v>0.03</v>
      </c>
      <c r="E50" s="11">
        <v>65</v>
      </c>
    </row>
    <row r="51" spans="1:8" ht="3.9" customHeight="1" x14ac:dyDescent="0.3"/>
    <row r="52" spans="1:8" ht="22.5" customHeight="1" x14ac:dyDescent="0.3">
      <c r="A52" s="36" t="s">
        <v>34</v>
      </c>
      <c r="B52" s="36"/>
      <c r="C52" s="36"/>
      <c r="D52" s="36"/>
      <c r="E52" s="36"/>
      <c r="F52" s="36"/>
    </row>
    <row r="53" spans="1:8" ht="3.9" customHeight="1" x14ac:dyDescent="0.3"/>
    <row r="54" spans="1:8" x14ac:dyDescent="0.3">
      <c r="A54" s="32" t="s">
        <v>28</v>
      </c>
      <c r="B54" s="33"/>
      <c r="C54" s="33"/>
      <c r="D54" s="33"/>
      <c r="E54" s="33"/>
      <c r="F54" s="33"/>
    </row>
    <row r="55" spans="1:8" ht="3.9" customHeight="1" x14ac:dyDescent="0.3"/>
    <row r="56" spans="1:8" ht="33" x14ac:dyDescent="0.3">
      <c r="A56" s="28" t="s">
        <v>27</v>
      </c>
      <c r="B56" s="29" t="s">
        <v>33</v>
      </c>
      <c r="C56" s="29" t="s">
        <v>40</v>
      </c>
      <c r="D56" s="29" t="s">
        <v>39</v>
      </c>
      <c r="E56" s="29" t="s">
        <v>25</v>
      </c>
      <c r="F56" s="31" t="s">
        <v>36</v>
      </c>
      <c r="H56" s="16"/>
    </row>
    <row r="57" spans="1:8" ht="30" customHeight="1" x14ac:dyDescent="0.3">
      <c r="A57" s="12" t="s">
        <v>16</v>
      </c>
      <c r="B57" s="22">
        <f>PRODUCT(C57)*D57*E57*F57</f>
        <v>58855.919767187195</v>
      </c>
      <c r="C57" s="19">
        <f>G9-C11</f>
        <v>6036.5045915063793</v>
      </c>
      <c r="D57" s="11">
        <v>6.5</v>
      </c>
      <c r="E57" s="11">
        <v>0.03</v>
      </c>
      <c r="F57" s="11">
        <v>50</v>
      </c>
    </row>
    <row r="58" spans="1:8" ht="30" customHeight="1" x14ac:dyDescent="0.3">
      <c r="A58" s="12" t="s">
        <v>17</v>
      </c>
      <c r="B58" s="22">
        <f>PRODUCT(C58)*D58*E58*F58</f>
        <v>76512.695697343355</v>
      </c>
      <c r="C58" s="19">
        <f>G9-C11</f>
        <v>6036.5045915063793</v>
      </c>
      <c r="D58" s="11">
        <v>6.5</v>
      </c>
      <c r="E58" s="11">
        <v>0.03</v>
      </c>
      <c r="F58" s="11">
        <v>65</v>
      </c>
    </row>
    <row r="59" spans="1:8" ht="30" customHeight="1" x14ac:dyDescent="0.3">
      <c r="A59" s="12" t="s">
        <v>18</v>
      </c>
      <c r="B59" s="22">
        <f>PRODUCT(C59)*D59*E59*F59</f>
        <v>76512.695697343355</v>
      </c>
      <c r="C59" s="19">
        <f>G9-C11</f>
        <v>6036.5045915063793</v>
      </c>
      <c r="D59" s="11">
        <v>6.5</v>
      </c>
      <c r="E59" s="11">
        <v>0.03</v>
      </c>
      <c r="F59" s="11">
        <v>65</v>
      </c>
    </row>
    <row r="60" spans="1:8" ht="3.9" customHeight="1" x14ac:dyDescent="0.3"/>
    <row r="61" spans="1:8" ht="22.5" customHeight="1" x14ac:dyDescent="0.3">
      <c r="A61" s="36" t="s">
        <v>32</v>
      </c>
      <c r="B61" s="36"/>
      <c r="C61" s="36"/>
      <c r="D61" s="36"/>
      <c r="E61" s="36"/>
      <c r="F61" s="36"/>
    </row>
    <row r="62" spans="1:8" ht="3.9" customHeight="1" x14ac:dyDescent="0.3"/>
    <row r="63" spans="1:8" x14ac:dyDescent="0.3">
      <c r="A63" s="32" t="s">
        <v>28</v>
      </c>
      <c r="B63" s="33"/>
      <c r="C63" s="33"/>
      <c r="D63" s="33"/>
      <c r="E63" s="33"/>
      <c r="F63" s="33"/>
    </row>
    <row r="64" spans="1:8" ht="3.9" customHeight="1" x14ac:dyDescent="0.3"/>
    <row r="65" spans="1:8" ht="33" x14ac:dyDescent="0.3">
      <c r="A65" s="22" t="s">
        <v>27</v>
      </c>
      <c r="B65" s="24" t="s">
        <v>33</v>
      </c>
      <c r="C65" s="24" t="s">
        <v>37</v>
      </c>
      <c r="D65" s="24" t="s">
        <v>35</v>
      </c>
      <c r="E65" s="24" t="s">
        <v>25</v>
      </c>
      <c r="F65" s="23" t="s">
        <v>36</v>
      </c>
      <c r="H65" s="16"/>
    </row>
    <row r="66" spans="1:8" ht="30" customHeight="1" x14ac:dyDescent="0.3">
      <c r="A66" s="12" t="s">
        <v>16</v>
      </c>
      <c r="B66" s="22">
        <f>PRODUCT(C66)*D66*E66*F66</f>
        <v>78355.919767187195</v>
      </c>
      <c r="C66" s="19">
        <f>G15-C11</f>
        <v>8036.5045915063793</v>
      </c>
      <c r="D66" s="11">
        <v>6.5</v>
      </c>
      <c r="E66" s="11">
        <v>0.03</v>
      </c>
      <c r="F66" s="11">
        <v>50</v>
      </c>
    </row>
    <row r="67" spans="1:8" ht="30" customHeight="1" x14ac:dyDescent="0.3">
      <c r="A67" s="12" t="s">
        <v>17</v>
      </c>
      <c r="B67" s="22">
        <f>PRODUCT(C67)*D67*E67*F67</f>
        <v>101862.69569734336</v>
      </c>
      <c r="C67" s="19">
        <f>G15-C11</f>
        <v>8036.5045915063793</v>
      </c>
      <c r="D67" s="11">
        <v>6.5</v>
      </c>
      <c r="E67" s="11">
        <v>0.03</v>
      </c>
      <c r="F67" s="11">
        <v>65</v>
      </c>
    </row>
    <row r="68" spans="1:8" ht="30" customHeight="1" x14ac:dyDescent="0.3">
      <c r="A68" s="12" t="s">
        <v>18</v>
      </c>
      <c r="B68" s="22">
        <f>PRODUCT(C68)*D68*E68*F68</f>
        <v>101862.69569734336</v>
      </c>
      <c r="C68" s="19">
        <f>G15-C11</f>
        <v>8036.5045915063793</v>
      </c>
      <c r="D68" s="11">
        <v>6.5</v>
      </c>
      <c r="E68" s="11">
        <v>0.03</v>
      </c>
      <c r="F68" s="11">
        <v>65</v>
      </c>
    </row>
  </sheetData>
  <mergeCells count="14">
    <mergeCell ref="A63:F63"/>
    <mergeCell ref="A2:G2"/>
    <mergeCell ref="E4:G4"/>
    <mergeCell ref="A36:E36"/>
    <mergeCell ref="A34:E34"/>
    <mergeCell ref="A43:E43"/>
    <mergeCell ref="A45:E45"/>
    <mergeCell ref="B4:C4"/>
    <mergeCell ref="A52:F52"/>
    <mergeCell ref="A54:F54"/>
    <mergeCell ref="A61:F61"/>
    <mergeCell ref="A25:E25"/>
    <mergeCell ref="A23:E23"/>
    <mergeCell ref="A27:E27"/>
  </mergeCells>
  <dataValidations count="1">
    <dataValidation allowBlank="1" showInputMessage="1" showErrorMessage="1" sqref="E30:E32 E39:E41 F66:F68 E48:E50 F57:F59" xr:uid="{15E467F2-8D44-459B-AF44-B3E932EFC1D5}"/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B8A3196-DFCA-4FBB-966F-997371C1843E}">
          <x14:formula1>
            <xm:f>Sheet2!$C$5:$C$8</xm:f>
          </x14:formula1>
          <xm:sqref>C30:C32 C39:C41 D66:D68 C48:C50 D57:D59</xm:sqref>
        </x14:dataValidation>
        <x14:dataValidation type="list" allowBlank="1" showInputMessage="1" showErrorMessage="1" xr:uid="{1C3B45D0-59C6-4422-A47B-866BCC37644D}">
          <x14:formula1>
            <xm:f>Sheet2!$F$2:$I$2</xm:f>
          </x14:formula1>
          <xm:sqref>D30:D32 D39:D41 E66:E68 D48:D50 E57:E59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DA86-5ED9-438B-AE76-535715CDEC96}">
  <dimension ref="A1:J10"/>
  <sheetViews>
    <sheetView zoomScale="130" zoomScaleNormal="130" workbookViewId="0">
      <selection activeCell="B5" sqref="B5"/>
    </sheetView>
  </sheetViews>
  <sheetFormatPr defaultColWidth="9.109375" defaultRowHeight="25.8" x14ac:dyDescent="0.85"/>
  <cols>
    <col min="1" max="1" width="84.109375" style="4" customWidth="1"/>
    <col min="2" max="3" width="16.6640625" style="4" customWidth="1"/>
    <col min="4" max="4" width="25.6640625" style="4" customWidth="1"/>
    <col min="5" max="5" width="9.109375" style="4"/>
    <col min="6" max="8" width="10.109375" style="4" bestFit="1" customWidth="1"/>
    <col min="9" max="16384" width="9.109375" style="4"/>
  </cols>
  <sheetData>
    <row r="1" spans="1:10" x14ac:dyDescent="0.85">
      <c r="A1" s="40" t="s">
        <v>24</v>
      </c>
      <c r="B1" s="40"/>
      <c r="C1" s="40"/>
      <c r="D1" s="40"/>
      <c r="F1" s="37" t="s">
        <v>25</v>
      </c>
      <c r="G1" s="37"/>
      <c r="H1" s="37"/>
      <c r="I1" s="37"/>
      <c r="J1" s="8"/>
    </row>
    <row r="2" spans="1:10" ht="30" customHeight="1" x14ac:dyDescent="0.85">
      <c r="A2" s="38" t="s">
        <v>14</v>
      </c>
      <c r="B2" s="38"/>
      <c r="C2" s="38"/>
      <c r="D2" s="38"/>
      <c r="F2" s="27">
        <v>0.01</v>
      </c>
      <c r="G2" s="27">
        <v>0.03</v>
      </c>
      <c r="H2" s="27">
        <v>0.06</v>
      </c>
      <c r="I2" s="27" t="s">
        <v>26</v>
      </c>
      <c r="J2" s="8"/>
    </row>
    <row r="3" spans="1:10" ht="30" customHeight="1" x14ac:dyDescent="0.85">
      <c r="A3" s="39" t="s">
        <v>15</v>
      </c>
      <c r="B3" s="39" t="s">
        <v>19</v>
      </c>
      <c r="C3" s="39"/>
      <c r="D3" s="39" t="s">
        <v>21</v>
      </c>
      <c r="F3" s="27">
        <v>0.99</v>
      </c>
      <c r="G3" s="27">
        <v>0.97</v>
      </c>
      <c r="H3" s="27">
        <v>0.94</v>
      </c>
      <c r="I3" s="27" t="s">
        <v>26</v>
      </c>
      <c r="J3" s="8"/>
    </row>
    <row r="4" spans="1:10" ht="30" customHeight="1" x14ac:dyDescent="0.85">
      <c r="A4" s="39"/>
      <c r="B4" s="5" t="s">
        <v>22</v>
      </c>
      <c r="C4" s="5" t="s">
        <v>20</v>
      </c>
      <c r="D4" s="39"/>
      <c r="F4" s="10"/>
      <c r="G4" s="9"/>
      <c r="H4" s="9"/>
      <c r="I4" s="9"/>
      <c r="J4" s="9"/>
    </row>
    <row r="5" spans="1:10" ht="30" customHeight="1" x14ac:dyDescent="0.85">
      <c r="A5" s="6" t="s">
        <v>16</v>
      </c>
      <c r="B5" s="7">
        <v>0.16</v>
      </c>
      <c r="C5" s="7">
        <v>6.5</v>
      </c>
      <c r="D5" s="7">
        <v>50</v>
      </c>
      <c r="F5" s="37" t="s">
        <v>38</v>
      </c>
      <c r="G5" s="37"/>
      <c r="H5" s="37"/>
      <c r="I5" s="37"/>
      <c r="J5" s="9"/>
    </row>
    <row r="6" spans="1:10" ht="30" customHeight="1" x14ac:dyDescent="0.85">
      <c r="A6" s="6" t="s">
        <v>17</v>
      </c>
      <c r="B6" s="7">
        <v>0.16</v>
      </c>
      <c r="C6" s="7">
        <v>6.5</v>
      </c>
      <c r="D6" s="7">
        <v>65</v>
      </c>
      <c r="F6" s="26">
        <v>4.0999999999999996</v>
      </c>
      <c r="G6" s="26">
        <v>6.5</v>
      </c>
      <c r="H6" s="26">
        <v>12.2</v>
      </c>
      <c r="I6" s="26" t="s">
        <v>26</v>
      </c>
      <c r="J6" s="9"/>
    </row>
    <row r="7" spans="1:10" ht="30" customHeight="1" x14ac:dyDescent="0.85">
      <c r="A7" s="6" t="s">
        <v>18</v>
      </c>
      <c r="B7" s="7">
        <v>0.16</v>
      </c>
      <c r="C7" s="7">
        <v>6.5</v>
      </c>
      <c r="D7" s="7">
        <v>65</v>
      </c>
      <c r="F7" s="9"/>
      <c r="G7" s="9"/>
      <c r="H7" s="9"/>
      <c r="I7" s="9"/>
      <c r="J7" s="9"/>
    </row>
    <row r="8" spans="1:10" x14ac:dyDescent="0.85">
      <c r="A8" s="14"/>
      <c r="B8" s="14"/>
      <c r="C8" s="15" t="s">
        <v>26</v>
      </c>
      <c r="D8" s="15" t="s">
        <v>26</v>
      </c>
      <c r="F8" s="9"/>
      <c r="G8" s="9"/>
      <c r="H8" s="9"/>
      <c r="I8" s="9"/>
      <c r="J8" s="9"/>
    </row>
    <row r="9" spans="1:10" ht="27" x14ac:dyDescent="0.85">
      <c r="A9" s="14" t="s">
        <v>23</v>
      </c>
      <c r="B9" s="14"/>
      <c r="C9" s="14"/>
      <c r="D9" s="15"/>
      <c r="F9" s="9"/>
      <c r="G9" s="9"/>
      <c r="H9" s="9"/>
      <c r="I9" s="9"/>
      <c r="J9" s="9"/>
    </row>
    <row r="10" spans="1:10" x14ac:dyDescent="0.85">
      <c r="F10" s="9"/>
      <c r="G10" s="9"/>
      <c r="H10" s="9"/>
      <c r="I10" s="9"/>
    </row>
  </sheetData>
  <mergeCells count="7">
    <mergeCell ref="F1:I1"/>
    <mergeCell ref="F5:I5"/>
    <mergeCell ref="A2:D2"/>
    <mergeCell ref="A3:A4"/>
    <mergeCell ref="B3:C3"/>
    <mergeCell ref="D3:D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Tiomico</dc:creator>
  <cp:lastModifiedBy>Marie Antonette Tiomico</cp:lastModifiedBy>
  <dcterms:created xsi:type="dcterms:W3CDTF">2024-03-11T13:15:40Z</dcterms:created>
  <dcterms:modified xsi:type="dcterms:W3CDTF">2025-10-30T13:49:20Z</dcterms:modified>
</cp:coreProperties>
</file>